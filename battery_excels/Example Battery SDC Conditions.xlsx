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lms" sheetId="1" r:id="rId5"/>
    <sheet state="visible" name="Coincells" sheetId="2" r:id="rId6"/>
  </sheets>
  <definedNames/>
  <calcPr/>
</workbook>
</file>

<file path=xl/sharedStrings.xml><?xml version="1.0" encoding="utf-8"?>
<sst xmlns="http://schemas.openxmlformats.org/spreadsheetml/2006/main" count="80" uniqueCount="55">
  <si>
    <t>Name</t>
  </si>
  <si>
    <t>Sample</t>
  </si>
  <si>
    <t>Date</t>
  </si>
  <si>
    <t>Die Head Height (um)</t>
  </si>
  <si>
    <t>Coating Speed (m/min)</t>
  </si>
  <si>
    <t>Wet Film Thickness 
(um)</t>
  </si>
  <si>
    <t>Pre-infusion volume (uL/mm)</t>
  </si>
  <si>
    <t>Pump rate pre-infuse
(uL/min)</t>
  </si>
  <si>
    <t>Shim thickness 
(um)</t>
  </si>
  <si>
    <t>Die length 
(mm)</t>
  </si>
  <si>
    <t>Syringe diameter 
(mm)</t>
  </si>
  <si>
    <t>Control</t>
  </si>
  <si>
    <t>3-1</t>
  </si>
  <si>
    <t>Film</t>
  </si>
  <si>
    <t>Electrode mass (mg)</t>
  </si>
  <si>
    <t>Wet Film thickness (um)</t>
  </si>
  <si>
    <t>Distance from film start 
(cm)</t>
  </si>
  <si>
    <t>Distance from end 
(cm)</t>
  </si>
  <si>
    <t>Distance from 
top (cm)</t>
  </si>
  <si>
    <t>Distance from 
bottom (cm)</t>
  </si>
  <si>
    <t>20260206FC100um-1</t>
  </si>
  <si>
    <t>20260202-3</t>
  </si>
  <si>
    <t>20260206FC100um-2</t>
  </si>
  <si>
    <t>20260206FC100um-3</t>
  </si>
  <si>
    <t>20260206FC150um-1</t>
  </si>
  <si>
    <t>20260202-2</t>
  </si>
  <si>
    <t>20260206FC150um-2</t>
  </si>
  <si>
    <t>20260206FC150um-3</t>
  </si>
  <si>
    <t>20260206FC150um-4</t>
  </si>
  <si>
    <t>20260206FC150um-5</t>
  </si>
  <si>
    <t>20260206FC200um-1</t>
  </si>
  <si>
    <t>20260202-1</t>
  </si>
  <si>
    <t>20260206FC200um-2</t>
  </si>
  <si>
    <t>20260206FC200um-3</t>
  </si>
  <si>
    <t>20260206FC200um-4</t>
  </si>
  <si>
    <t>20260206FC200um-5</t>
  </si>
  <si>
    <t>20260206FC250um-1</t>
  </si>
  <si>
    <t>20260202-4</t>
  </si>
  <si>
    <t>20260206FC250um-2</t>
  </si>
  <si>
    <t>20260206FC250um-3</t>
  </si>
  <si>
    <t>20260206FC250um-4</t>
  </si>
  <si>
    <t>20260226FC50um-1</t>
  </si>
  <si>
    <t>20260226-4</t>
  </si>
  <si>
    <t>20260226FC50um-2</t>
  </si>
  <si>
    <t>20260226FC50um-3</t>
  </si>
  <si>
    <t>20260226FC75um-1</t>
  </si>
  <si>
    <t>20260226-3</t>
  </si>
  <si>
    <t>20260226FC75um-2</t>
  </si>
  <si>
    <t>20260226FC75um-3</t>
  </si>
  <si>
    <t>20260226FC75um-4</t>
  </si>
  <si>
    <t>20260226FC75um-5</t>
  </si>
  <si>
    <t>20260226FC75um-6</t>
  </si>
  <si>
    <t>20260226FC75um-7</t>
  </si>
  <si>
    <t>20260226FC75um-8</t>
  </si>
  <si>
    <t>20260226FC75um-9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</si>
</sst>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right" shrinkToFit="0" vertical="bottom" wrapText="1"/>
    </xf>
    <xf borderId="0" fillId="0" fontId="2" numFmtId="0" xfId="0" applyAlignment="1" applyFont="1">
      <alignment horizontal="right" vertical="bottom"/>
    </xf>
    <xf borderId="0" fillId="0" fontId="2" numFmtId="49" xfId="0" applyAlignment="1" applyFont="1" applyNumberFormat="1">
      <alignment horizontal="right"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7" max="7" width="9.88"/>
    <col customWidth="1" min="8" max="8" width="16.63"/>
    <col customWidth="1" min="9" max="9" width="12.25"/>
    <col customWidth="1" min="10" max="10" width="8.5"/>
    <col customWidth="1" min="11" max="11" width="13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4" t="s">
        <v>7</v>
      </c>
      <c r="I1" s="5" t="s">
        <v>8</v>
      </c>
      <c r="J1" s="5" t="s">
        <v>9</v>
      </c>
      <c r="K1" s="5" t="s">
        <v>10</v>
      </c>
    </row>
    <row r="2">
      <c r="A2" s="2" t="str">
        <f t="shared" ref="A2:A15" si="1">CONCATENATE(C2,,"-",B2)</f>
        <v>20260202-1</v>
      </c>
      <c r="B2" s="5">
        <v>1.0</v>
      </c>
      <c r="C2" s="5">
        <v>2.0260202E7</v>
      </c>
      <c r="D2" s="5">
        <v>200.0</v>
      </c>
      <c r="E2" s="5">
        <v>0.1</v>
      </c>
      <c r="F2" s="5">
        <v>200.0</v>
      </c>
      <c r="G2" s="5">
        <v>5.0</v>
      </c>
      <c r="I2" s="5">
        <v>500.0</v>
      </c>
      <c r="J2" s="5">
        <v>25.0</v>
      </c>
      <c r="K2" s="5">
        <v>20.0</v>
      </c>
    </row>
    <row r="3">
      <c r="A3" s="2" t="str">
        <f t="shared" si="1"/>
        <v>20260202-2</v>
      </c>
      <c r="B3" s="5">
        <v>2.0</v>
      </c>
      <c r="C3" s="5">
        <v>2.0260202E7</v>
      </c>
      <c r="D3" s="5">
        <v>150.0</v>
      </c>
      <c r="E3" s="5">
        <v>0.1</v>
      </c>
      <c r="F3" s="5">
        <v>150.0</v>
      </c>
      <c r="G3" s="5">
        <v>5.0</v>
      </c>
      <c r="I3" s="5">
        <v>500.0</v>
      </c>
      <c r="J3" s="5">
        <v>25.0</v>
      </c>
      <c r="K3" s="5">
        <v>20.0</v>
      </c>
    </row>
    <row r="4">
      <c r="A4" s="2" t="str">
        <f t="shared" si="1"/>
        <v>20260202-3</v>
      </c>
      <c r="B4" s="5">
        <v>3.0</v>
      </c>
      <c r="C4" s="5">
        <v>2.0260202E7</v>
      </c>
      <c r="D4" s="5">
        <v>100.0</v>
      </c>
      <c r="E4" s="5">
        <v>0.1</v>
      </c>
      <c r="F4" s="5">
        <v>100.0</v>
      </c>
      <c r="G4" s="5">
        <v>5.0</v>
      </c>
      <c r="I4" s="5">
        <v>500.0</v>
      </c>
      <c r="J4" s="5">
        <v>25.0</v>
      </c>
      <c r="K4" s="5">
        <v>20.0</v>
      </c>
    </row>
    <row r="5">
      <c r="A5" s="2" t="str">
        <f t="shared" si="1"/>
        <v>20260202-4</v>
      </c>
      <c r="B5" s="5">
        <v>4.0</v>
      </c>
      <c r="C5" s="5">
        <v>2.0260202E7</v>
      </c>
      <c r="D5" s="5">
        <v>250.0</v>
      </c>
      <c r="E5" s="6">
        <v>0.1</v>
      </c>
      <c r="F5" s="6">
        <v>250.0</v>
      </c>
      <c r="G5" s="5">
        <v>5.0</v>
      </c>
      <c r="I5" s="5">
        <v>500.0</v>
      </c>
      <c r="J5" s="5">
        <v>25.0</v>
      </c>
      <c r="K5" s="5">
        <v>20.0</v>
      </c>
    </row>
    <row r="6">
      <c r="A6" s="2" t="str">
        <f t="shared" si="1"/>
        <v>20260203-Control</v>
      </c>
      <c r="B6" s="2" t="s">
        <v>11</v>
      </c>
      <c r="C6" s="6">
        <v>2.0260203E7</v>
      </c>
      <c r="D6" s="6">
        <v>250.0</v>
      </c>
      <c r="E6" s="6">
        <v>0.1</v>
      </c>
      <c r="F6" s="6">
        <v>250.0</v>
      </c>
      <c r="G6" s="6">
        <v>5.0</v>
      </c>
      <c r="I6" s="5">
        <v>500.0</v>
      </c>
      <c r="J6" s="5">
        <v>25.0</v>
      </c>
      <c r="K6" s="5">
        <v>20.0</v>
      </c>
    </row>
    <row r="7">
      <c r="A7" s="2" t="str">
        <f t="shared" si="1"/>
        <v>20260203-1</v>
      </c>
      <c r="B7" s="7">
        <v>1.0</v>
      </c>
      <c r="C7" s="6">
        <v>2.0260203E7</v>
      </c>
      <c r="D7" s="7">
        <v>250.0</v>
      </c>
      <c r="E7" s="7">
        <v>0.05</v>
      </c>
      <c r="F7" s="7">
        <v>500.0</v>
      </c>
      <c r="G7" s="7">
        <v>5.0</v>
      </c>
      <c r="I7" s="5">
        <v>500.0</v>
      </c>
      <c r="J7" s="5">
        <v>25.0</v>
      </c>
      <c r="K7" s="5">
        <v>20.0</v>
      </c>
    </row>
    <row r="8">
      <c r="A8" s="2" t="str">
        <f t="shared" si="1"/>
        <v>20260203-2</v>
      </c>
      <c r="B8" s="7">
        <v>2.0</v>
      </c>
      <c r="C8" s="6">
        <v>2.0260203E7</v>
      </c>
      <c r="D8" s="7">
        <v>250.0</v>
      </c>
      <c r="E8" s="7">
        <v>0.03</v>
      </c>
      <c r="F8" s="7">
        <v>1000.0</v>
      </c>
      <c r="G8" s="7">
        <v>10.0</v>
      </c>
      <c r="I8" s="5">
        <v>500.0</v>
      </c>
      <c r="J8" s="5">
        <v>25.0</v>
      </c>
      <c r="K8" s="5">
        <v>20.0</v>
      </c>
    </row>
    <row r="9">
      <c r="A9" s="2" t="str">
        <f t="shared" si="1"/>
        <v>20260203-3</v>
      </c>
      <c r="B9" s="7">
        <v>3.0</v>
      </c>
      <c r="C9" s="6">
        <v>2.0260203E7</v>
      </c>
      <c r="D9" s="7">
        <v>250.0</v>
      </c>
      <c r="E9" s="7">
        <v>0.2</v>
      </c>
      <c r="F9" s="7">
        <v>100.0</v>
      </c>
      <c r="G9" s="7">
        <v>2.0</v>
      </c>
      <c r="I9" s="5">
        <v>500.0</v>
      </c>
      <c r="J9" s="5">
        <v>25.0</v>
      </c>
      <c r="K9" s="5">
        <v>20.0</v>
      </c>
    </row>
    <row r="10">
      <c r="A10" s="2" t="str">
        <f t="shared" si="1"/>
        <v>20260203-3-1</v>
      </c>
      <c r="B10" s="8" t="s">
        <v>12</v>
      </c>
      <c r="C10" s="7">
        <v>2.0260203E7</v>
      </c>
      <c r="D10" s="7">
        <v>250.0</v>
      </c>
      <c r="E10" s="7">
        <v>0.2</v>
      </c>
      <c r="F10" s="7">
        <v>100.0</v>
      </c>
      <c r="G10" s="7">
        <v>3.0</v>
      </c>
      <c r="I10" s="5">
        <v>500.0</v>
      </c>
      <c r="J10" s="5">
        <v>25.0</v>
      </c>
      <c r="K10" s="5">
        <v>20.0</v>
      </c>
    </row>
    <row r="11">
      <c r="A11" s="2" t="str">
        <f t="shared" si="1"/>
        <v>20260217-Control</v>
      </c>
      <c r="B11" s="2" t="s">
        <v>11</v>
      </c>
      <c r="C11" s="6">
        <v>2.0260217E7</v>
      </c>
      <c r="D11" s="6">
        <v>100.0</v>
      </c>
      <c r="E11" s="6">
        <v>0.1</v>
      </c>
      <c r="F11" s="6">
        <v>100.0</v>
      </c>
      <c r="G11" s="6">
        <v>5.0</v>
      </c>
      <c r="H11" s="7">
        <v>200.0</v>
      </c>
      <c r="I11" s="5">
        <v>500.0</v>
      </c>
      <c r="J11" s="5">
        <v>25.0</v>
      </c>
      <c r="K11" s="5">
        <v>20.0</v>
      </c>
    </row>
    <row r="12">
      <c r="A12" s="2" t="str">
        <f t="shared" si="1"/>
        <v>20260217-1</v>
      </c>
      <c r="B12" s="7">
        <v>1.0</v>
      </c>
      <c r="C12" s="6">
        <v>2.0260217E7</v>
      </c>
      <c r="D12" s="6">
        <v>100.0</v>
      </c>
      <c r="E12" s="7">
        <v>1.0</v>
      </c>
      <c r="F12" s="6">
        <v>100.0</v>
      </c>
      <c r="G12" s="6">
        <v>5.0</v>
      </c>
      <c r="H12" s="7">
        <v>200.0</v>
      </c>
      <c r="I12" s="5">
        <v>500.0</v>
      </c>
      <c r="J12" s="5">
        <v>25.0</v>
      </c>
      <c r="K12" s="5">
        <v>20.0</v>
      </c>
    </row>
    <row r="13">
      <c r="A13" s="2" t="str">
        <f t="shared" si="1"/>
        <v>20260217-2</v>
      </c>
      <c r="B13" s="7">
        <v>2.0</v>
      </c>
      <c r="C13" s="6">
        <v>2.0260217E7</v>
      </c>
      <c r="D13" s="6">
        <v>100.0</v>
      </c>
      <c r="E13" s="7">
        <v>0.01</v>
      </c>
      <c r="F13" s="6">
        <v>100.0</v>
      </c>
      <c r="G13" s="6">
        <v>5.0</v>
      </c>
      <c r="H13" s="7">
        <v>200.0</v>
      </c>
      <c r="I13" s="5">
        <v>500.0</v>
      </c>
      <c r="J13" s="5">
        <v>25.0</v>
      </c>
      <c r="K13" s="5">
        <v>20.0</v>
      </c>
    </row>
    <row r="14">
      <c r="A14" s="2" t="str">
        <f t="shared" si="1"/>
        <v>20260226-3</v>
      </c>
      <c r="B14" s="7">
        <v>3.0</v>
      </c>
      <c r="C14" s="6">
        <v>2.0260226E7</v>
      </c>
      <c r="D14" s="7">
        <v>100.0</v>
      </c>
      <c r="E14" s="7">
        <v>0.1</v>
      </c>
      <c r="F14" s="7">
        <v>75.0</v>
      </c>
      <c r="G14" s="7">
        <v>5.0</v>
      </c>
      <c r="H14" s="7">
        <v>200.0</v>
      </c>
      <c r="I14" s="5">
        <v>500.0</v>
      </c>
      <c r="J14" s="5">
        <v>25.0</v>
      </c>
      <c r="K14" s="5">
        <v>20.0</v>
      </c>
    </row>
    <row r="15">
      <c r="A15" s="2" t="str">
        <f t="shared" si="1"/>
        <v>20260226-4</v>
      </c>
      <c r="B15" s="7">
        <v>4.0</v>
      </c>
      <c r="C15" s="6">
        <v>2.0260226E7</v>
      </c>
      <c r="D15" s="7">
        <v>100.0</v>
      </c>
      <c r="E15" s="7">
        <v>0.1</v>
      </c>
      <c r="F15" s="7">
        <v>50.0</v>
      </c>
      <c r="G15" s="7">
        <v>5.0</v>
      </c>
      <c r="H15" s="7">
        <v>200.0</v>
      </c>
      <c r="I15" s="5">
        <v>500.0</v>
      </c>
      <c r="J15" s="5">
        <v>25.0</v>
      </c>
      <c r="K15" s="5">
        <v>20.0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7.25"/>
    <col customWidth="1" min="9" max="9" width="16.13"/>
    <col customWidth="1" min="11" max="11" width="18.0"/>
  </cols>
  <sheetData>
    <row r="1">
      <c r="A1" s="4" t="s">
        <v>0</v>
      </c>
      <c r="B1" s="5" t="s">
        <v>13</v>
      </c>
      <c r="C1" s="4" t="s">
        <v>14</v>
      </c>
      <c r="D1" s="9" t="s">
        <v>15</v>
      </c>
      <c r="E1" s="4" t="s">
        <v>16</v>
      </c>
      <c r="F1" s="4" t="s">
        <v>17</v>
      </c>
      <c r="G1" s="4" t="s">
        <v>18</v>
      </c>
      <c r="H1" s="4" t="s">
        <v>19</v>
      </c>
    </row>
    <row r="2">
      <c r="A2" s="4" t="s">
        <v>20</v>
      </c>
      <c r="B2" s="2" t="s">
        <v>21</v>
      </c>
      <c r="C2" s="7">
        <v>38.4</v>
      </c>
      <c r="D2" s="7">
        <v>100.0</v>
      </c>
      <c r="E2" s="7">
        <v>1.8</v>
      </c>
      <c r="F2" s="7">
        <v>7.5</v>
      </c>
      <c r="G2" s="7">
        <v>1.4</v>
      </c>
      <c r="H2" s="7">
        <v>1.5</v>
      </c>
    </row>
    <row r="3">
      <c r="A3" s="4" t="s">
        <v>22</v>
      </c>
      <c r="B3" s="2" t="s">
        <v>21</v>
      </c>
      <c r="C3" s="7">
        <v>30.5</v>
      </c>
      <c r="D3" s="7">
        <v>100.0</v>
      </c>
      <c r="E3" s="7">
        <v>4.3</v>
      </c>
      <c r="F3" s="7">
        <v>5.0</v>
      </c>
      <c r="G3" s="7">
        <v>1.3</v>
      </c>
      <c r="H3" s="7">
        <v>1.6</v>
      </c>
    </row>
    <row r="4">
      <c r="A4" s="4" t="s">
        <v>23</v>
      </c>
      <c r="B4" s="2" t="s">
        <v>21</v>
      </c>
      <c r="C4" s="7">
        <v>27.7</v>
      </c>
      <c r="D4" s="7">
        <v>100.0</v>
      </c>
      <c r="E4" s="7">
        <v>6.5</v>
      </c>
      <c r="F4" s="7">
        <v>2.7</v>
      </c>
      <c r="G4" s="7">
        <v>1.3</v>
      </c>
      <c r="H4" s="7">
        <v>1.7</v>
      </c>
    </row>
    <row r="5">
      <c r="A5" s="4" t="s">
        <v>24</v>
      </c>
      <c r="B5" s="10" t="s">
        <v>25</v>
      </c>
      <c r="C5" s="7">
        <v>41.8</v>
      </c>
      <c r="D5" s="7">
        <v>150.0</v>
      </c>
      <c r="E5" s="7">
        <v>2.3</v>
      </c>
      <c r="F5" s="7">
        <v>10.7</v>
      </c>
      <c r="G5" s="7">
        <v>1.4</v>
      </c>
      <c r="H5" s="7">
        <v>1.4</v>
      </c>
    </row>
    <row r="6">
      <c r="A6" s="4" t="s">
        <v>26</v>
      </c>
      <c r="B6" s="10" t="s">
        <v>25</v>
      </c>
      <c r="C6" s="7">
        <v>32.6</v>
      </c>
      <c r="D6" s="7">
        <v>150.0</v>
      </c>
      <c r="E6" s="7">
        <v>4.7</v>
      </c>
      <c r="F6" s="7">
        <v>8.3</v>
      </c>
      <c r="G6" s="7">
        <v>1.2</v>
      </c>
      <c r="H6" s="7">
        <v>1.6</v>
      </c>
    </row>
    <row r="7">
      <c r="A7" s="4" t="s">
        <v>27</v>
      </c>
      <c r="B7" s="10" t="s">
        <v>25</v>
      </c>
      <c r="C7" s="7">
        <v>42.1</v>
      </c>
      <c r="D7" s="7">
        <v>150.0</v>
      </c>
      <c r="E7" s="7">
        <v>7.7</v>
      </c>
      <c r="F7" s="7">
        <v>5.3</v>
      </c>
      <c r="G7" s="7">
        <v>1.1</v>
      </c>
      <c r="H7" s="7">
        <v>1.6</v>
      </c>
    </row>
    <row r="8">
      <c r="A8" s="4" t="s">
        <v>28</v>
      </c>
      <c r="B8" s="10" t="s">
        <v>25</v>
      </c>
      <c r="C8" s="7">
        <v>38.6</v>
      </c>
      <c r="D8" s="7">
        <v>150.0</v>
      </c>
      <c r="E8" s="7">
        <v>10.2</v>
      </c>
      <c r="F8" s="7">
        <v>2.9</v>
      </c>
      <c r="G8" s="7">
        <v>1.2</v>
      </c>
      <c r="H8" s="7">
        <v>1.3</v>
      </c>
    </row>
    <row r="9">
      <c r="A9" s="4" t="s">
        <v>29</v>
      </c>
      <c r="B9" s="10" t="s">
        <v>25</v>
      </c>
      <c r="C9" s="7">
        <v>52.3</v>
      </c>
      <c r="D9" s="7">
        <v>150.0</v>
      </c>
      <c r="E9" s="7">
        <v>12.4</v>
      </c>
      <c r="F9" s="7">
        <v>0.7</v>
      </c>
      <c r="G9" s="7">
        <v>1.1</v>
      </c>
      <c r="H9" s="7">
        <v>1.3</v>
      </c>
    </row>
    <row r="10">
      <c r="A10" s="4" t="s">
        <v>30</v>
      </c>
      <c r="B10" s="10" t="s">
        <v>31</v>
      </c>
      <c r="C10" s="7">
        <v>45.9</v>
      </c>
      <c r="D10" s="7">
        <v>200.0</v>
      </c>
      <c r="E10" s="7">
        <v>2.0</v>
      </c>
      <c r="F10" s="7">
        <v>11.1</v>
      </c>
      <c r="G10" s="7">
        <v>1.9</v>
      </c>
      <c r="H10" s="7">
        <v>1.3</v>
      </c>
    </row>
    <row r="11">
      <c r="A11" s="4" t="s">
        <v>32</v>
      </c>
      <c r="B11" s="10" t="s">
        <v>31</v>
      </c>
      <c r="C11" s="7">
        <v>44.8</v>
      </c>
      <c r="D11" s="7">
        <v>200.0</v>
      </c>
      <c r="E11" s="7">
        <v>4.6</v>
      </c>
      <c r="F11" s="7">
        <v>8.5</v>
      </c>
      <c r="G11" s="7">
        <v>1.8</v>
      </c>
      <c r="H11" s="7">
        <v>1.2</v>
      </c>
    </row>
    <row r="12">
      <c r="A12" s="4" t="s">
        <v>33</v>
      </c>
      <c r="B12" s="10" t="s">
        <v>31</v>
      </c>
      <c r="C12" s="7">
        <v>44.8</v>
      </c>
      <c r="D12" s="7">
        <v>200.0</v>
      </c>
      <c r="E12" s="7">
        <v>7.1</v>
      </c>
      <c r="F12" s="7">
        <v>6.0</v>
      </c>
      <c r="G12" s="7">
        <v>1.9</v>
      </c>
      <c r="H12" s="7">
        <v>1.0</v>
      </c>
    </row>
    <row r="13">
      <c r="A13" s="4" t="s">
        <v>34</v>
      </c>
      <c r="B13" s="10" t="s">
        <v>31</v>
      </c>
      <c r="C13" s="7">
        <v>45.0</v>
      </c>
      <c r="D13" s="7">
        <v>200.0</v>
      </c>
      <c r="E13" s="7">
        <v>9.5</v>
      </c>
      <c r="F13" s="7">
        <v>3.5</v>
      </c>
      <c r="G13" s="7">
        <v>1.7</v>
      </c>
      <c r="H13" s="7">
        <v>1.4</v>
      </c>
    </row>
    <row r="14">
      <c r="A14" s="4" t="s">
        <v>35</v>
      </c>
      <c r="B14" s="10" t="s">
        <v>31</v>
      </c>
      <c r="C14" s="7">
        <v>53.7</v>
      </c>
      <c r="D14" s="7">
        <v>200.0</v>
      </c>
      <c r="E14" s="7">
        <v>11.7</v>
      </c>
      <c r="F14" s="7">
        <v>1.4</v>
      </c>
      <c r="G14" s="7">
        <v>1.3</v>
      </c>
      <c r="H14" s="7">
        <v>1.1</v>
      </c>
    </row>
    <row r="15">
      <c r="A15" s="4" t="s">
        <v>36</v>
      </c>
      <c r="B15" s="10" t="s">
        <v>37</v>
      </c>
      <c r="C15" s="7">
        <v>55.1</v>
      </c>
      <c r="D15" s="7">
        <v>250.0</v>
      </c>
      <c r="E15" s="7">
        <v>1.6</v>
      </c>
      <c r="F15" s="7">
        <v>8.8</v>
      </c>
      <c r="G15" s="7">
        <v>1.9</v>
      </c>
      <c r="H15" s="7">
        <v>1.0</v>
      </c>
    </row>
    <row r="16">
      <c r="A16" s="4" t="s">
        <v>38</v>
      </c>
      <c r="B16" s="10" t="s">
        <v>37</v>
      </c>
      <c r="C16" s="7">
        <v>55.0</v>
      </c>
      <c r="D16" s="7">
        <v>250.0</v>
      </c>
      <c r="E16" s="7">
        <v>4.0</v>
      </c>
      <c r="F16" s="7">
        <v>6.5</v>
      </c>
      <c r="G16" s="7">
        <v>1.7</v>
      </c>
      <c r="H16" s="7">
        <v>1.1</v>
      </c>
    </row>
    <row r="17">
      <c r="A17" s="4" t="s">
        <v>39</v>
      </c>
      <c r="B17" s="10" t="s">
        <v>37</v>
      </c>
      <c r="C17" s="7">
        <v>49.84</v>
      </c>
      <c r="D17" s="7">
        <v>250.0</v>
      </c>
      <c r="E17" s="7">
        <v>6.4</v>
      </c>
      <c r="F17" s="7">
        <v>4.1</v>
      </c>
      <c r="G17" s="7">
        <v>1.6</v>
      </c>
      <c r="H17" s="7">
        <v>1.2</v>
      </c>
    </row>
    <row r="18">
      <c r="A18" s="4" t="s">
        <v>40</v>
      </c>
      <c r="B18" s="10" t="s">
        <v>37</v>
      </c>
      <c r="C18" s="7">
        <v>55.8</v>
      </c>
      <c r="D18" s="7">
        <v>250.0</v>
      </c>
      <c r="E18" s="7">
        <v>8.8</v>
      </c>
      <c r="F18" s="7">
        <v>1.7</v>
      </c>
      <c r="G18" s="7">
        <v>1.7</v>
      </c>
      <c r="H18" s="7">
        <v>1.2</v>
      </c>
    </row>
    <row r="19">
      <c r="A19" s="4" t="s">
        <v>41</v>
      </c>
      <c r="B19" s="10" t="s">
        <v>42</v>
      </c>
      <c r="C19" s="7">
        <v>25.3</v>
      </c>
      <c r="D19" s="7">
        <v>50.0</v>
      </c>
      <c r="E19" s="7">
        <v>1.3</v>
      </c>
      <c r="F19" s="7">
        <v>6.0</v>
      </c>
      <c r="G19" s="7">
        <v>1.3</v>
      </c>
      <c r="H19" s="7">
        <v>1.5</v>
      </c>
    </row>
    <row r="20">
      <c r="A20" s="4" t="s">
        <v>43</v>
      </c>
      <c r="B20" s="10" t="s">
        <v>42</v>
      </c>
      <c r="C20" s="7">
        <v>26.7</v>
      </c>
      <c r="D20" s="7">
        <v>50.0</v>
      </c>
      <c r="E20" s="7">
        <v>3.3</v>
      </c>
      <c r="F20" s="7">
        <v>4.0</v>
      </c>
      <c r="G20" s="7">
        <v>1.4</v>
      </c>
      <c r="H20" s="7">
        <v>1.4</v>
      </c>
    </row>
    <row r="21">
      <c r="A21" s="4" t="s">
        <v>44</v>
      </c>
      <c r="B21" s="10" t="s">
        <v>42</v>
      </c>
      <c r="C21" s="7">
        <v>27.7</v>
      </c>
      <c r="D21" s="7">
        <v>50.0</v>
      </c>
      <c r="E21" s="7">
        <v>5.0</v>
      </c>
      <c r="F21" s="7">
        <v>2.3</v>
      </c>
      <c r="G21" s="7">
        <v>1.5</v>
      </c>
      <c r="H21" s="7">
        <v>1.3</v>
      </c>
    </row>
    <row r="22">
      <c r="A22" s="4" t="s">
        <v>45</v>
      </c>
      <c r="B22" s="10" t="s">
        <v>46</v>
      </c>
      <c r="C22" s="7">
        <v>25.8</v>
      </c>
      <c r="D22" s="7">
        <v>75.0</v>
      </c>
      <c r="E22" s="7">
        <v>2.2</v>
      </c>
      <c r="F22" s="7">
        <v>19.9</v>
      </c>
      <c r="G22" s="7">
        <v>1.5</v>
      </c>
      <c r="H22" s="7">
        <v>1.4</v>
      </c>
    </row>
    <row r="23">
      <c r="A23" s="4" t="s">
        <v>47</v>
      </c>
      <c r="B23" s="10" t="s">
        <v>46</v>
      </c>
      <c r="C23" s="7">
        <v>27.0</v>
      </c>
      <c r="D23" s="7">
        <v>75.0</v>
      </c>
      <c r="E23" s="7">
        <v>4.6</v>
      </c>
      <c r="F23" s="7">
        <v>17.5</v>
      </c>
      <c r="G23" s="7">
        <v>1.3</v>
      </c>
      <c r="H23" s="7">
        <v>1.5</v>
      </c>
    </row>
    <row r="24">
      <c r="A24" s="4" t="s">
        <v>48</v>
      </c>
      <c r="B24" s="10" t="s">
        <v>46</v>
      </c>
      <c r="C24" s="7">
        <v>27.8</v>
      </c>
      <c r="D24" s="7">
        <v>75.0</v>
      </c>
      <c r="E24" s="7">
        <v>7.3</v>
      </c>
      <c r="F24" s="7">
        <v>14.7</v>
      </c>
      <c r="G24" s="7">
        <v>1.4</v>
      </c>
      <c r="H24" s="7">
        <v>1.4</v>
      </c>
    </row>
    <row r="25">
      <c r="A25" s="4" t="s">
        <v>49</v>
      </c>
      <c r="B25" s="10" t="s">
        <v>46</v>
      </c>
      <c r="C25" s="7">
        <v>27.9</v>
      </c>
      <c r="D25" s="7">
        <v>75.0</v>
      </c>
      <c r="E25" s="7">
        <v>9.5</v>
      </c>
      <c r="F25" s="7">
        <v>12.4</v>
      </c>
      <c r="G25" s="7">
        <v>1.3</v>
      </c>
      <c r="H25" s="7">
        <v>1.5</v>
      </c>
    </row>
    <row r="26">
      <c r="A26" s="4" t="s">
        <v>50</v>
      </c>
      <c r="B26" s="10" t="s">
        <v>46</v>
      </c>
      <c r="C26" s="7">
        <v>26.8</v>
      </c>
      <c r="D26" s="7">
        <v>75.0</v>
      </c>
      <c r="E26" s="7">
        <v>11.5</v>
      </c>
      <c r="F26" s="7">
        <v>10.5</v>
      </c>
      <c r="G26" s="7">
        <v>1.5</v>
      </c>
      <c r="H26" s="7">
        <v>1.4</v>
      </c>
    </row>
    <row r="27">
      <c r="A27" s="4" t="s">
        <v>51</v>
      </c>
      <c r="B27" s="10" t="s">
        <v>46</v>
      </c>
      <c r="C27" s="7">
        <v>26.0</v>
      </c>
      <c r="D27" s="7">
        <v>75.0</v>
      </c>
      <c r="E27" s="7">
        <v>14.0</v>
      </c>
      <c r="F27" s="7">
        <v>8.0</v>
      </c>
      <c r="G27" s="7">
        <v>1.4</v>
      </c>
      <c r="H27" s="7">
        <v>1.4</v>
      </c>
    </row>
    <row r="28">
      <c r="A28" s="4" t="s">
        <v>52</v>
      </c>
      <c r="B28" s="10" t="s">
        <v>46</v>
      </c>
      <c r="C28" s="7">
        <v>25.1</v>
      </c>
      <c r="D28" s="7">
        <v>75.0</v>
      </c>
      <c r="E28" s="7">
        <v>16.3</v>
      </c>
      <c r="F28" s="7">
        <v>5.6</v>
      </c>
      <c r="G28" s="7">
        <v>1.2</v>
      </c>
      <c r="H28" s="7">
        <v>1.4</v>
      </c>
    </row>
    <row r="29">
      <c r="A29" s="4" t="s">
        <v>53</v>
      </c>
      <c r="B29" s="10" t="s">
        <v>46</v>
      </c>
      <c r="C29" s="7">
        <v>24.5</v>
      </c>
      <c r="D29" s="7">
        <v>75.0</v>
      </c>
      <c r="E29" s="7">
        <v>18.0</v>
      </c>
      <c r="F29" s="7">
        <v>3.9</v>
      </c>
      <c r="G29" s="7">
        <v>1.2</v>
      </c>
      <c r="H29" s="7">
        <v>1.3</v>
      </c>
    </row>
    <row r="30">
      <c r="A30" s="4" t="s">
        <v>54</v>
      </c>
      <c r="B30" s="10" t="s">
        <v>46</v>
      </c>
      <c r="C30" s="7">
        <v>24.7</v>
      </c>
      <c r="D30" s="7">
        <v>75.0</v>
      </c>
      <c r="E30" s="7">
        <v>20.4</v>
      </c>
      <c r="F30" s="7">
        <v>1.6</v>
      </c>
      <c r="G30" s="7">
        <v>1.5</v>
      </c>
      <c r="H30" s="7">
        <v>1.1</v>
      </c>
    </row>
  </sheetData>
  <drawing r:id="rId1"/>
</worksheet>
</file>